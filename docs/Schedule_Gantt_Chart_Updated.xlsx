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E:\Projects\SDR\PRISM\docs\"/>
    </mc:Choice>
  </mc:AlternateContent>
  <xr:revisionPtr revIDLastSave="0" documentId="13_ncr:1_{C96D0B4A-8CDD-41B4-ABFE-C532BA53B2A5}" xr6:coauthVersionLast="47" xr6:coauthVersionMax="47" xr10:uidLastSave="{00000000-0000-0000-0000-000000000000}"/>
  <bookViews>
    <workbookView xWindow="-120" yWindow="-120" windowWidth="38640" windowHeight="2184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1" l="1"/>
  <c r="E24" i="11"/>
  <c r="F23" i="11"/>
  <c r="E23" i="11"/>
  <c r="F22" i="11"/>
  <c r="E22" i="11"/>
  <c r="Q1" i="11"/>
  <c r="E9" i="11" s="1"/>
  <c r="E10" i="11" s="1"/>
  <c r="H7" i="11"/>
  <c r="F9" i="11" l="1"/>
  <c r="E29" i="11"/>
  <c r="F29" i="11" s="1"/>
  <c r="E11" i="11"/>
  <c r="F11" i="11" s="1"/>
  <c r="I5" i="11"/>
  <c r="H34" i="11"/>
  <c r="H33" i="11"/>
  <c r="H28" i="11"/>
  <c r="H13" i="11"/>
  <c r="H8" i="11"/>
  <c r="F10" i="11" l="1"/>
  <c r="E12" i="11"/>
  <c r="F12" i="11" s="1"/>
  <c r="H9" i="11"/>
  <c r="I6" i="11"/>
  <c r="E14" i="11" l="1"/>
  <c r="H11" i="11"/>
  <c r="J5" i="11"/>
  <c r="K5" i="11" s="1"/>
  <c r="L5" i="11" s="1"/>
  <c r="M5" i="11" s="1"/>
  <c r="N5" i="11" s="1"/>
  <c r="O5" i="11" s="1"/>
  <c r="P5" i="11" s="1"/>
  <c r="I4" i="11"/>
  <c r="E15" i="11" l="1"/>
  <c r="F15" i="11" s="1"/>
  <c r="E16" i="11" s="1"/>
  <c r="E17" i="11"/>
  <c r="F14" i="11"/>
  <c r="H14" i="11" s="1"/>
  <c r="H15" i="11"/>
  <c r="H12" i="11"/>
  <c r="P4" i="11"/>
  <c r="Q5" i="11"/>
  <c r="R5" i="11" s="1"/>
  <c r="S5" i="11" s="1"/>
  <c r="T5" i="11" s="1"/>
  <c r="U5" i="11" s="1"/>
  <c r="V5" i="11" s="1"/>
  <c r="W5" i="11" s="1"/>
  <c r="J6" i="11"/>
  <c r="F17" i="11" l="1"/>
  <c r="E18" i="11"/>
  <c r="F16" i="11"/>
  <c r="H16" i="11" s="1"/>
  <c r="W4" i="11"/>
  <c r="X5" i="11"/>
  <c r="Y5" i="11" s="1"/>
  <c r="Z5" i="11" s="1"/>
  <c r="AA5" i="11" s="1"/>
  <c r="AB5" i="11" s="1"/>
  <c r="AC5" i="11" s="1"/>
  <c r="AD5" i="11" s="1"/>
  <c r="K6" i="11"/>
  <c r="H17" i="11" l="1"/>
  <c r="F18" i="11"/>
  <c r="AE5" i="11"/>
  <c r="AF5" i="11" s="1"/>
  <c r="AG5" i="11" s="1"/>
  <c r="AH5" i="11" s="1"/>
  <c r="AI5" i="11" s="1"/>
  <c r="AJ5" i="11" s="1"/>
  <c r="AD4" i="11"/>
  <c r="L6" i="11"/>
  <c r="F19" i="11" l="1"/>
  <c r="E20" i="11" s="1"/>
  <c r="F20" i="11" s="1"/>
  <c r="E21" i="11" s="1"/>
  <c r="F21" i="11" s="1"/>
  <c r="H18" i="11"/>
  <c r="AK5" i="11"/>
  <c r="AL5" i="11" s="1"/>
  <c r="AM5" i="11" s="1"/>
  <c r="AN5" i="11" s="1"/>
  <c r="AO5" i="11" s="1"/>
  <c r="AP5" i="11" s="1"/>
  <c r="AQ5" i="11" s="1"/>
  <c r="M6" i="11"/>
  <c r="F24" i="11" l="1"/>
  <c r="E25" i="11" s="1"/>
  <c r="H20" i="11"/>
  <c r="H29" i="11"/>
  <c r="AR5" i="11"/>
  <c r="AS5" i="11" s="1"/>
  <c r="AK4" i="11"/>
  <c r="N6" i="11"/>
  <c r="H23" i="11" l="1"/>
  <c r="F25" i="11"/>
  <c r="E26" i="11" s="1"/>
  <c r="E30" i="11"/>
  <c r="F30" i="11" s="1"/>
  <c r="H30" i="11" s="1"/>
  <c r="H25" i="11"/>
  <c r="AT5" i="11"/>
  <c r="AS6" i="11"/>
  <c r="AR4" i="11"/>
  <c r="O6" i="11"/>
  <c r="F26" i="11" l="1"/>
  <c r="H26" i="11" s="1"/>
  <c r="AU5" i="11"/>
  <c r="AT6" i="11"/>
  <c r="E27" i="11" l="1"/>
  <c r="AV5" i="11"/>
  <c r="AU6" i="11"/>
  <c r="P6" i="11"/>
  <c r="Q6" i="11"/>
  <c r="F27" i="11" l="1"/>
  <c r="E31" i="11" s="1"/>
  <c r="F31" i="11" s="1"/>
  <c r="H31" i="11" s="1"/>
  <c r="E32" i="11"/>
  <c r="F32" i="11" s="1"/>
  <c r="AW5" i="11"/>
  <c r="AV6" i="11"/>
  <c r="R6" i="11"/>
  <c r="H27" i="11" l="1"/>
  <c r="H32" i="11"/>
  <c r="AX5" i="1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<sst xmlns="http://schemas.openxmlformats.org/spreadsheetml/2006/main" count="76" uniqueCount="53">
  <si>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</si>
  <si>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</si>
  <si>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</si>
  <si>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</si>
  <si>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</si>
  <si>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</si>
  <si>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</si>
  <si>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</si>
  <si>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</si>
  <si>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</si>
  <si>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</si>
  <si>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</si>
  <si>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</si>
  <si>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</si>
  <si>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</si>
  <si>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</si>
  <si>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</si>
  <si>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</si>
  <si>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</si>
  <si>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</si>
  <si>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</si>
  <si>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</si>
  <si>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Conduct studies</t>
  </si>
  <si>
    <t>Planning and design</t>
  </si>
  <si>
    <t>Create schedule</t>
  </si>
  <si>
    <t>Develop budget</t>
  </si>
  <si>
    <t>Define scope</t>
  </si>
  <si>
    <t>Identify risks</t>
  </si>
  <si>
    <t>Monitor progress</t>
  </si>
  <si>
    <t>Testing and validation</t>
  </si>
  <si>
    <t>Track expenses</t>
  </si>
  <si>
    <t>Evaluate progress</t>
  </si>
  <si>
    <t>Address risks</t>
  </si>
  <si>
    <t>Project start:</t>
  </si>
  <si>
    <t>Display week:</t>
  </si>
  <si>
    <t>ASSIGNED TO</t>
  </si>
  <si>
    <t>Evaluation</t>
  </si>
  <si>
    <t>P.R.I.S.M.</t>
  </si>
  <si>
    <t>Stark Interests</t>
  </si>
  <si>
    <t>Jonas Miramontes</t>
  </si>
  <si>
    <t>Gather Software</t>
  </si>
  <si>
    <t>Define goals &amp; deliverables</t>
  </si>
  <si>
    <t>Select Communication</t>
  </si>
  <si>
    <t>Revisit Hardware and Comm</t>
  </si>
  <si>
    <t>Firmware Programming</t>
  </si>
  <si>
    <t>Software Programming</t>
  </si>
  <si>
    <t>Case Design</t>
  </si>
  <si>
    <t>P</t>
  </si>
  <si>
    <t>Select Primary Hardware</t>
  </si>
  <si>
    <t>Power System Hardware / Schematic</t>
  </si>
  <si>
    <t>Zynq-7000 Schematic</t>
  </si>
  <si>
    <t>LimeSDR Schematic</t>
  </si>
  <si>
    <t>Communication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</si>
</sst>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6" tint="0.59999389629810485"/>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7" fontId="21" fillId="11" borderId="19" xfId="0" applyNumberFormat="1" applyFont="1" applyFill="1" applyBorder="1" applyAlignment="1">
      <alignment horizontal="center" vertical="center"/>
    </xf>
    <xf numFmtId="167" fontId="21" fillId="11" borderId="17" xfId="0" applyNumberFormat="1" applyFont="1" applyFill="1" applyBorder="1" applyAlignment="1">
      <alignment horizontal="center" vertical="center"/>
    </xf>
    <xf numFmtId="167" fontId="21" fillId="11"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19" fillId="7" borderId="0" xfId="11" applyFont="1" applyFill="1" applyBorder="1" applyAlignment="1">
      <alignment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9" fillId="9" borderId="9" xfId="11" applyFont="1" applyFill="1" applyBorder="1" applyAlignment="1">
      <alignment vertical="center"/>
    </xf>
    <xf numFmtId="9" fontId="1" fillId="9" borderId="9" xfId="2" applyFont="1" applyFill="1" applyBorder="1" applyAlignment="1">
      <alignment horizontal="center" vertical="center"/>
    </xf>
    <xf numFmtId="164" fontId="19" fillId="9" borderId="9" xfId="10" applyFont="1" applyFill="1" applyBorder="1">
      <alignment horizontal="center" vertical="center"/>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9" fontId="1" fillId="12" borderId="0" xfId="2" applyFont="1" applyFill="1" applyBorder="1" applyAlignment="1">
      <alignment horizontal="center" vertical="center"/>
    </xf>
    <xf numFmtId="164" fontId="19" fillId="12" borderId="0" xfId="0" applyNumberFormat="1" applyFont="1" applyFill="1" applyAlignment="1">
      <alignment horizontal="center" vertical="center"/>
    </xf>
    <xf numFmtId="164" fontId="1" fillId="12" borderId="0" xfId="0" applyNumberFormat="1" applyFont="1" applyFill="1" applyAlignment="1">
      <alignment horizontal="center" vertical="center"/>
    </xf>
    <xf numFmtId="166" fontId="19" fillId="2" borderId="12"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0" fontId="20" fillId="10" borderId="15" xfId="0" applyFont="1" applyFill="1" applyBorder="1" applyAlignment="1">
      <alignment horizontal="center" vertical="center"/>
    </xf>
    <xf numFmtId="0" fontId="4" fillId="2" borderId="20"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0" borderId="15" xfId="0" applyFont="1" applyFill="1" applyBorder="1" applyAlignment="1">
      <alignment vertical="center"/>
    </xf>
    <xf numFmtId="0" fontId="29" fillId="0" borderId="0" xfId="5" applyFont="1" applyAlignment="1">
      <alignment horizontal="left" wrapText="1"/>
    </xf>
    <xf numFmtId="0" fontId="26" fillId="0" borderId="0" xfId="6" applyFont="1" applyAlignment="1">
      <alignment horizontal="left" vertical="center" wrapText="1"/>
    </xf>
    <xf numFmtId="0" fontId="18" fillId="0" borderId="0" xfId="0" applyFont="1" applyAlignment="1">
      <alignment horizontal="left" wrapText="1"/>
    </xf>
    <xf numFmtId="0" fontId="1" fillId="0" borderId="0" xfId="1" applyFont="1" applyAlignment="1" applyProtection="1">
      <alignment horizontal="left" vertical="top" wrapText="1"/>
    </xf>
    <xf numFmtId="0" fontId="20" fillId="10" borderId="15" xfId="0" applyFont="1" applyFill="1" applyBorder="1" applyAlignment="1">
      <alignment horizontal="left" vertical="center" wrapText="1"/>
    </xf>
    <xf numFmtId="0" fontId="4" fillId="2" borderId="20" xfId="0" applyFont="1" applyFill="1" applyBorder="1" applyAlignment="1">
      <alignment horizontal="left" wrapText="1"/>
    </xf>
    <xf numFmtId="0" fontId="23" fillId="6" borderId="0" xfId="0" applyFont="1" applyFill="1" applyAlignment="1">
      <alignment horizontal="left" vertical="center" wrapText="1"/>
    </xf>
    <xf numFmtId="0" fontId="19" fillId="3" borderId="6" xfId="12" applyFont="1" applyFill="1" applyBorder="1" applyAlignment="1">
      <alignment horizontal="left" vertical="center" wrapText="1"/>
    </xf>
    <xf numFmtId="0" fontId="19" fillId="3" borderId="7" xfId="12" applyFont="1" applyFill="1" applyBorder="1" applyAlignment="1">
      <alignment horizontal="left" vertical="center" wrapText="1"/>
    </xf>
    <xf numFmtId="0" fontId="23" fillId="7" borderId="0" xfId="0" applyFont="1" applyFill="1" applyAlignment="1">
      <alignment horizontal="left" vertical="center" wrapText="1"/>
    </xf>
    <xf numFmtId="0" fontId="19" fillId="4" borderId="5" xfId="12" applyFont="1" applyFill="1" applyBorder="1" applyAlignment="1">
      <alignment horizontal="left" vertical="center" wrapText="1"/>
    </xf>
    <xf numFmtId="0" fontId="19" fillId="5" borderId="8" xfId="12" applyFont="1" applyFill="1" applyBorder="1" applyAlignment="1">
      <alignment horizontal="left" vertical="center" wrapText="1"/>
    </xf>
    <xf numFmtId="0" fontId="23" fillId="8" borderId="0" xfId="0" applyFont="1" applyFill="1" applyAlignment="1">
      <alignment horizontal="left" vertical="center" wrapText="1"/>
    </xf>
    <xf numFmtId="0" fontId="19" fillId="9" borderId="9" xfId="12" applyFont="1" applyFill="1" applyBorder="1" applyAlignment="1">
      <alignment horizontal="left" vertical="center" wrapText="1"/>
    </xf>
    <xf numFmtId="0" fontId="19" fillId="0" borderId="0" xfId="12" applyFont="1" applyBorder="1" applyAlignment="1">
      <alignment horizontal="left" vertical="center" wrapText="1"/>
    </xf>
    <xf numFmtId="0" fontId="24" fillId="2" borderId="0" xfId="0" applyFont="1" applyFill="1" applyAlignment="1">
      <alignment horizontal="left" vertical="center" wrapText="1"/>
    </xf>
    <xf numFmtId="0" fontId="0" fillId="0" borderId="0" xfId="0" applyAlignment="1">
      <alignment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topLeftCell="A5" zoomScaleNormal="100" zoomScalePageLayoutView="70" workbookViewId="0">
      <selection activeCell="E20" sqref="E20"/>
    </sheetView>
  </sheetViews>
  <sheetFormatPr defaultColWidth="8.75" defaultRowHeight="30" customHeight="1" x14ac:dyDescent="0.2"/>
  <cols>
    <col min="1" max="1" width="2.75" style="13" customWidth="1"/>
    <col min="2" max="2" width="27.875" style="114"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8" t="s">
        <v>37</v>
      </c>
      <c r="C1" s="18"/>
      <c r="D1" s="19"/>
      <c r="E1" s="20"/>
      <c r="F1" s="21"/>
      <c r="H1" s="1"/>
      <c r="I1" s="94" t="s">
        <v>33</v>
      </c>
      <c r="J1" s="95"/>
      <c r="K1" s="95"/>
      <c r="L1" s="95"/>
      <c r="M1" s="95"/>
      <c r="N1" s="95"/>
      <c r="O1" s="95"/>
      <c r="P1" s="24"/>
      <c r="Q1" s="93">
        <f>DATE(2026, 6, 10)</f>
        <v>46183</v>
      </c>
      <c r="R1" s="92"/>
      <c r="S1" s="92"/>
      <c r="T1" s="92"/>
      <c r="U1" s="92"/>
      <c r="V1" s="92"/>
      <c r="W1" s="92"/>
      <c r="X1" s="92"/>
      <c r="Y1" s="92"/>
      <c r="Z1" s="92"/>
    </row>
    <row r="2" spans="1:64" ht="30" customHeight="1" x14ac:dyDescent="0.5">
      <c r="B2" s="99" t="s">
        <v>38</v>
      </c>
      <c r="C2" s="75" t="s">
        <v>39</v>
      </c>
      <c r="D2" s="22"/>
      <c r="E2" s="23"/>
      <c r="F2" s="22"/>
      <c r="I2" s="94" t="s">
        <v>34</v>
      </c>
      <c r="J2" s="95"/>
      <c r="K2" s="95"/>
      <c r="L2" s="95"/>
      <c r="M2" s="95"/>
      <c r="N2" s="95"/>
      <c r="O2" s="95"/>
      <c r="P2" s="24"/>
      <c r="Q2" s="91">
        <v>1</v>
      </c>
      <c r="R2" s="92"/>
      <c r="S2" s="92"/>
      <c r="T2" s="92"/>
      <c r="U2" s="92"/>
      <c r="V2" s="92"/>
      <c r="W2" s="92"/>
      <c r="X2" s="92"/>
      <c r="Y2" s="92"/>
      <c r="Z2" s="92"/>
    </row>
    <row r="3" spans="1:64" s="25" customFormat="1" ht="30" customHeight="1" x14ac:dyDescent="0.25">
      <c r="A3" s="13"/>
      <c r="B3" s="100" t="s">
        <v>8</v>
      </c>
      <c r="D3" s="26"/>
      <c r="E3" s="27"/>
    </row>
    <row r="4" spans="1:64" s="25" customFormat="1" ht="30" customHeight="1" x14ac:dyDescent="0.2">
      <c r="A4" s="14"/>
      <c r="B4" s="101" t="s">
        <v>13</v>
      </c>
      <c r="E4" s="28"/>
      <c r="I4" s="88">
        <f>I5</f>
        <v>46181</v>
      </c>
      <c r="J4" s="86"/>
      <c r="K4" s="86"/>
      <c r="L4" s="86"/>
      <c r="M4" s="86"/>
      <c r="N4" s="86"/>
      <c r="O4" s="86"/>
      <c r="P4" s="86">
        <f>P5</f>
        <v>46188</v>
      </c>
      <c r="Q4" s="86"/>
      <c r="R4" s="86"/>
      <c r="S4" s="86"/>
      <c r="T4" s="86"/>
      <c r="U4" s="86"/>
      <c r="V4" s="86"/>
      <c r="W4" s="86">
        <f>W5</f>
        <v>46195</v>
      </c>
      <c r="X4" s="86"/>
      <c r="Y4" s="86"/>
      <c r="Z4" s="86"/>
      <c r="AA4" s="86"/>
      <c r="AB4" s="86"/>
      <c r="AC4" s="86"/>
      <c r="AD4" s="86">
        <f>AD5</f>
        <v>46202</v>
      </c>
      <c r="AE4" s="86"/>
      <c r="AF4" s="86"/>
      <c r="AG4" s="86"/>
      <c r="AH4" s="86"/>
      <c r="AI4" s="86"/>
      <c r="AJ4" s="86"/>
      <c r="AK4" s="86">
        <f>AK5</f>
        <v>46209</v>
      </c>
      <c r="AL4" s="86"/>
      <c r="AM4" s="86"/>
      <c r="AN4" s="86"/>
      <c r="AO4" s="86"/>
      <c r="AP4" s="86"/>
      <c r="AQ4" s="86"/>
      <c r="AR4" s="86">
        <f>AR5</f>
        <v>46216</v>
      </c>
      <c r="AS4" s="86"/>
      <c r="AT4" s="86"/>
      <c r="AU4" s="86"/>
      <c r="AV4" s="86"/>
      <c r="AW4" s="86"/>
      <c r="AX4" s="86"/>
      <c r="AY4" s="86">
        <f>AY5</f>
        <v>46223</v>
      </c>
      <c r="AZ4" s="86"/>
      <c r="BA4" s="86"/>
      <c r="BB4" s="86"/>
      <c r="BC4" s="86"/>
      <c r="BD4" s="86"/>
      <c r="BE4" s="86"/>
      <c r="BF4" s="86">
        <f>BF5</f>
        <v>46230</v>
      </c>
      <c r="BG4" s="86"/>
      <c r="BH4" s="86"/>
      <c r="BI4" s="86"/>
      <c r="BJ4" s="86"/>
      <c r="BK4" s="86"/>
      <c r="BL4" s="87"/>
    </row>
    <row r="5" spans="1:64" s="25" customFormat="1" ht="15" customHeight="1" x14ac:dyDescent="0.2">
      <c r="A5" s="96"/>
      <c r="B5" s="102" t="s">
        <v>5</v>
      </c>
      <c r="C5" s="97" t="s">
        <v>35</v>
      </c>
      <c r="D5" s="89" t="s">
        <v>1</v>
      </c>
      <c r="E5" s="89" t="s">
        <v>3</v>
      </c>
      <c r="F5" s="89" t="s">
        <v>4</v>
      </c>
      <c r="I5" s="29">
        <f>Project_Start-WEEKDAY(Project_Start,1)+2+7*(Display_Week-1)</f>
        <v>46181</v>
      </c>
      <c r="J5" s="29">
        <f>I5+1</f>
        <v>46182</v>
      </c>
      <c r="K5" s="29">
        <f t="shared" ref="K5:AX5" si="0">J5+1</f>
        <v>46183</v>
      </c>
      <c r="L5" s="29">
        <f t="shared" si="0"/>
        <v>46184</v>
      </c>
      <c r="M5" s="29">
        <f t="shared" si="0"/>
        <v>46185</v>
      </c>
      <c r="N5" s="29">
        <f t="shared" si="0"/>
        <v>46186</v>
      </c>
      <c r="O5" s="30">
        <f t="shared" si="0"/>
        <v>46187</v>
      </c>
      <c r="P5" s="31">
        <f>O5+1</f>
        <v>46188</v>
      </c>
      <c r="Q5" s="29">
        <f>P5+1</f>
        <v>46189</v>
      </c>
      <c r="R5" s="29">
        <f t="shared" si="0"/>
        <v>46190</v>
      </c>
      <c r="S5" s="29">
        <f t="shared" si="0"/>
        <v>46191</v>
      </c>
      <c r="T5" s="29">
        <f t="shared" si="0"/>
        <v>46192</v>
      </c>
      <c r="U5" s="29">
        <f t="shared" si="0"/>
        <v>46193</v>
      </c>
      <c r="V5" s="30">
        <f t="shared" si="0"/>
        <v>46194</v>
      </c>
      <c r="W5" s="31">
        <f>V5+1</f>
        <v>46195</v>
      </c>
      <c r="X5" s="29">
        <f>W5+1</f>
        <v>46196</v>
      </c>
      <c r="Y5" s="29">
        <f t="shared" si="0"/>
        <v>46197</v>
      </c>
      <c r="Z5" s="29">
        <f t="shared" si="0"/>
        <v>46198</v>
      </c>
      <c r="AA5" s="29">
        <f t="shared" si="0"/>
        <v>46199</v>
      </c>
      <c r="AB5" s="29">
        <f t="shared" si="0"/>
        <v>46200</v>
      </c>
      <c r="AC5" s="30">
        <f t="shared" si="0"/>
        <v>46201</v>
      </c>
      <c r="AD5" s="31">
        <f>AC5+1</f>
        <v>46202</v>
      </c>
      <c r="AE5" s="29">
        <f>AD5+1</f>
        <v>46203</v>
      </c>
      <c r="AF5" s="29">
        <f t="shared" si="0"/>
        <v>46204</v>
      </c>
      <c r="AG5" s="29">
        <f t="shared" si="0"/>
        <v>46205</v>
      </c>
      <c r="AH5" s="29">
        <f t="shared" si="0"/>
        <v>46206</v>
      </c>
      <c r="AI5" s="29">
        <f t="shared" si="0"/>
        <v>46207</v>
      </c>
      <c r="AJ5" s="30">
        <f t="shared" si="0"/>
        <v>46208</v>
      </c>
      <c r="AK5" s="31">
        <f>AJ5+1</f>
        <v>46209</v>
      </c>
      <c r="AL5" s="29">
        <f>AK5+1</f>
        <v>46210</v>
      </c>
      <c r="AM5" s="29">
        <f t="shared" si="0"/>
        <v>46211</v>
      </c>
      <c r="AN5" s="29">
        <f t="shared" si="0"/>
        <v>46212</v>
      </c>
      <c r="AO5" s="29">
        <f t="shared" si="0"/>
        <v>46213</v>
      </c>
      <c r="AP5" s="29">
        <f t="shared" si="0"/>
        <v>46214</v>
      </c>
      <c r="AQ5" s="30">
        <f t="shared" si="0"/>
        <v>46215</v>
      </c>
      <c r="AR5" s="31">
        <f>AQ5+1</f>
        <v>46216</v>
      </c>
      <c r="AS5" s="29">
        <f>AR5+1</f>
        <v>46217</v>
      </c>
      <c r="AT5" s="29">
        <f t="shared" si="0"/>
        <v>46218</v>
      </c>
      <c r="AU5" s="29">
        <f t="shared" si="0"/>
        <v>46219</v>
      </c>
      <c r="AV5" s="29">
        <f t="shared" si="0"/>
        <v>46220</v>
      </c>
      <c r="AW5" s="29">
        <f t="shared" si="0"/>
        <v>46221</v>
      </c>
      <c r="AX5" s="30">
        <f t="shared" si="0"/>
        <v>46222</v>
      </c>
      <c r="AY5" s="31">
        <f>AX5+1</f>
        <v>46223</v>
      </c>
      <c r="AZ5" s="29">
        <f>AY5+1</f>
        <v>46224</v>
      </c>
      <c r="BA5" s="29">
        <f t="shared" ref="BA5:BE5" si="1">AZ5+1</f>
        <v>46225</v>
      </c>
      <c r="BB5" s="29">
        <f t="shared" si="1"/>
        <v>46226</v>
      </c>
      <c r="BC5" s="29">
        <f t="shared" si="1"/>
        <v>46227</v>
      </c>
      <c r="BD5" s="29">
        <f t="shared" si="1"/>
        <v>46228</v>
      </c>
      <c r="BE5" s="30">
        <f t="shared" si="1"/>
        <v>46229</v>
      </c>
      <c r="BF5" s="31">
        <f>BE5+1</f>
        <v>46230</v>
      </c>
      <c r="BG5" s="29">
        <f>BF5+1</f>
        <v>46231</v>
      </c>
      <c r="BH5" s="29">
        <f t="shared" ref="BH5:BL5" si="2">BG5+1</f>
        <v>46232</v>
      </c>
      <c r="BI5" s="29">
        <f t="shared" si="2"/>
        <v>46233</v>
      </c>
      <c r="BJ5" s="29">
        <f t="shared" si="2"/>
        <v>46234</v>
      </c>
      <c r="BK5" s="29">
        <f t="shared" si="2"/>
        <v>46235</v>
      </c>
      <c r="BL5" s="29">
        <f t="shared" si="2"/>
        <v>46236</v>
      </c>
    </row>
    <row r="6" spans="1:64" s="25" customFormat="1" ht="15" customHeight="1" thickBot="1" x14ac:dyDescent="0.25">
      <c r="A6" s="96"/>
      <c r="B6" s="103"/>
      <c r="C6" s="90"/>
      <c r="D6" s="90"/>
      <c r="E6" s="90"/>
      <c r="F6" s="90"/>
      <c r="I6" s="32" t="str">
        <f t="shared" ref="I6:AN6" si="3">LEFT(TEXT(I5,"ddd"),1)</f>
        <v>M</v>
      </c>
      <c r="J6" s="33" t="str">
        <f t="shared" si="3"/>
        <v>T</v>
      </c>
      <c r="K6" s="33" t="str">
        <f t="shared" si="3"/>
        <v>W</v>
      </c>
      <c r="L6" s="33" t="str">
        <f t="shared" si="3"/>
        <v>T</v>
      </c>
      <c r="M6" s="33" t="str">
        <f t="shared" si="3"/>
        <v>F</v>
      </c>
      <c r="N6" s="33" t="str">
        <f t="shared" si="3"/>
        <v>S</v>
      </c>
      <c r="O6" s="33" t="str">
        <f t="shared" si="3"/>
        <v>S</v>
      </c>
      <c r="P6" s="33" t="str">
        <f t="shared" si="3"/>
        <v>M</v>
      </c>
      <c r="Q6" s="33" t="str">
        <f t="shared" si="3"/>
        <v>T</v>
      </c>
      <c r="R6" s="33" t="str">
        <f t="shared" si="3"/>
        <v>W</v>
      </c>
      <c r="S6" s="33" t="str">
        <f t="shared" si="3"/>
        <v>T</v>
      </c>
      <c r="T6" s="33" t="str">
        <f t="shared" si="3"/>
        <v>F</v>
      </c>
      <c r="U6" s="33" t="str">
        <f t="shared" si="3"/>
        <v>S</v>
      </c>
      <c r="V6" s="33" t="str">
        <f t="shared" si="3"/>
        <v>S</v>
      </c>
      <c r="W6" s="33" t="str">
        <f t="shared" si="3"/>
        <v>M</v>
      </c>
      <c r="X6" s="33" t="str">
        <f t="shared" si="3"/>
        <v>T</v>
      </c>
      <c r="Y6" s="33" t="str">
        <f t="shared" si="3"/>
        <v>W</v>
      </c>
      <c r="Z6" s="33" t="str">
        <f t="shared" si="3"/>
        <v>T</v>
      </c>
      <c r="AA6" s="33" t="str">
        <f t="shared" si="3"/>
        <v>F</v>
      </c>
      <c r="AB6" s="33" t="str">
        <f t="shared" si="3"/>
        <v>S</v>
      </c>
      <c r="AC6" s="33" t="str">
        <f t="shared" si="3"/>
        <v>S</v>
      </c>
      <c r="AD6" s="33" t="str">
        <f t="shared" si="3"/>
        <v>M</v>
      </c>
      <c r="AE6" s="33" t="str">
        <f t="shared" si="3"/>
        <v>T</v>
      </c>
      <c r="AF6" s="33" t="str">
        <f t="shared" si="3"/>
        <v>W</v>
      </c>
      <c r="AG6" s="33" t="str">
        <f t="shared" si="3"/>
        <v>T</v>
      </c>
      <c r="AH6" s="33" t="str">
        <f t="shared" si="3"/>
        <v>F</v>
      </c>
      <c r="AI6" s="33" t="str">
        <f t="shared" si="3"/>
        <v>S</v>
      </c>
      <c r="AJ6" s="33" t="str">
        <f t="shared" si="3"/>
        <v>S</v>
      </c>
      <c r="AK6" s="33" t="str">
        <f t="shared" si="3"/>
        <v>M</v>
      </c>
      <c r="AL6" s="33" t="str">
        <f t="shared" si="3"/>
        <v>T</v>
      </c>
      <c r="AM6" s="33" t="str">
        <f t="shared" si="3"/>
        <v>W</v>
      </c>
      <c r="AN6" s="33" t="str">
        <f t="shared" si="3"/>
        <v>T</v>
      </c>
      <c r="AO6" s="33" t="str">
        <f t="shared" ref="AO6:BL6" si="4">LEFT(TEXT(AO5,"ddd"),1)</f>
        <v>F</v>
      </c>
      <c r="AP6" s="33" t="str">
        <f t="shared" si="4"/>
        <v>S</v>
      </c>
      <c r="AQ6" s="33" t="str">
        <f t="shared" si="4"/>
        <v>S</v>
      </c>
      <c r="AR6" s="33" t="str">
        <f t="shared" si="4"/>
        <v>M</v>
      </c>
      <c r="AS6" s="33" t="str">
        <f t="shared" si="4"/>
        <v>T</v>
      </c>
      <c r="AT6" s="33" t="str">
        <f t="shared" si="4"/>
        <v>W</v>
      </c>
      <c r="AU6" s="33" t="str">
        <f t="shared" si="4"/>
        <v>T</v>
      </c>
      <c r="AV6" s="33" t="str">
        <f t="shared" si="4"/>
        <v>F</v>
      </c>
      <c r="AW6" s="33" t="str">
        <f t="shared" si="4"/>
        <v>S</v>
      </c>
      <c r="AX6" s="33" t="str">
        <f t="shared" si="4"/>
        <v>S</v>
      </c>
      <c r="AY6" s="33" t="str">
        <f t="shared" si="4"/>
        <v>M</v>
      </c>
      <c r="AZ6" s="33" t="str">
        <f t="shared" si="4"/>
        <v>T</v>
      </c>
      <c r="BA6" s="33" t="str">
        <f t="shared" si="4"/>
        <v>W</v>
      </c>
      <c r="BB6" s="33" t="str">
        <f t="shared" si="4"/>
        <v>T</v>
      </c>
      <c r="BC6" s="33" t="str">
        <f t="shared" si="4"/>
        <v>F</v>
      </c>
      <c r="BD6" s="33" t="str">
        <f t="shared" si="4"/>
        <v>S</v>
      </c>
      <c r="BE6" s="33" t="str">
        <f t="shared" si="4"/>
        <v>S</v>
      </c>
      <c r="BF6" s="33" t="str">
        <f t="shared" si="4"/>
        <v>M</v>
      </c>
      <c r="BG6" s="33" t="str">
        <f t="shared" si="4"/>
        <v>T</v>
      </c>
      <c r="BH6" s="33" t="str">
        <f t="shared" si="4"/>
        <v>W</v>
      </c>
      <c r="BI6" s="33" t="str">
        <f t="shared" si="4"/>
        <v>T</v>
      </c>
      <c r="BJ6" s="33" t="str">
        <f t="shared" si="4"/>
        <v>F</v>
      </c>
      <c r="BK6" s="33" t="str">
        <f t="shared" si="4"/>
        <v>S</v>
      </c>
      <c r="BL6" s="34" t="str">
        <f t="shared" si="4"/>
        <v>S</v>
      </c>
    </row>
    <row r="7" spans="1:64" s="25" customFormat="1" ht="30" hidden="1" customHeight="1" thickBot="1" x14ac:dyDescent="0.25">
      <c r="A7" s="13" t="s">
        <v>20</v>
      </c>
      <c r="B7" s="36"/>
      <c r="C7" s="36"/>
      <c r="D7" s="35"/>
      <c r="E7" s="35"/>
      <c r="F7" s="35"/>
      <c r="H7" s="25" t="str">
        <f>IF(OR(ISBLANK(task_start),ISBLANK(task_end)),"",task_end-task_start+1)</f>
        <v/>
      </c>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row>
    <row r="8" spans="1:64" s="43" customFormat="1" ht="30" customHeight="1" thickBot="1" x14ac:dyDescent="0.25">
      <c r="A8" s="14"/>
      <c r="B8" s="104" t="s">
        <v>21</v>
      </c>
      <c r="C8" s="38"/>
      <c r="D8" s="39"/>
      <c r="E8" s="40"/>
      <c r="F8" s="41"/>
      <c r="G8" s="17"/>
      <c r="H8" s="5" t="str">
        <f t="shared" ref="H8:H34" si="5">IF(OR(ISBLANK(task_start),ISBLANK(task_end)),"",task_end-task_start+1)</f>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row>
    <row r="9" spans="1:64" s="43" customFormat="1" ht="30" customHeight="1" thickBot="1" x14ac:dyDescent="0.25">
      <c r="A9" s="14"/>
      <c r="B9" s="105" t="s">
        <v>41</v>
      </c>
      <c r="C9" s="44" t="s">
        <v>39</v>
      </c>
      <c r="D9" s="45">
        <v>0.7</v>
      </c>
      <c r="E9" s="46">
        <f>Project_Start</f>
        <v>46183</v>
      </c>
      <c r="F9" s="46">
        <f>E9+2</f>
        <v>46185</v>
      </c>
      <c r="G9" s="17"/>
      <c r="H9" s="5">
        <f t="shared" si="5"/>
        <v>3</v>
      </c>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row>
    <row r="10" spans="1:64" s="43" customFormat="1" ht="30" customHeight="1" thickBot="1" x14ac:dyDescent="0.25">
      <c r="A10" s="14"/>
      <c r="B10" s="105" t="s">
        <v>24</v>
      </c>
      <c r="C10" s="44" t="s">
        <v>39</v>
      </c>
      <c r="D10" s="45">
        <v>1</v>
      </c>
      <c r="E10" s="46">
        <f>E9</f>
        <v>46183</v>
      </c>
      <c r="F10" s="46">
        <f>E10+2</f>
        <v>46185</v>
      </c>
      <c r="G10" s="17"/>
      <c r="H10" s="5"/>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row>
    <row r="11" spans="1:64" s="43" customFormat="1" ht="30" customHeight="1" thickBot="1" x14ac:dyDescent="0.25">
      <c r="A11" s="14"/>
      <c r="B11" s="106" t="s">
        <v>22</v>
      </c>
      <c r="C11" s="48" t="s">
        <v>39</v>
      </c>
      <c r="D11" s="49">
        <v>0.6</v>
      </c>
      <c r="E11" s="50">
        <f>E9+1</f>
        <v>46184</v>
      </c>
      <c r="F11" s="50">
        <f>E11+5</f>
        <v>46189</v>
      </c>
      <c r="G11" s="17"/>
      <c r="H11" s="5">
        <f t="shared" si="5"/>
        <v>6</v>
      </c>
      <c r="I11" s="47"/>
      <c r="J11" s="47"/>
      <c r="K11" s="47"/>
      <c r="L11" s="47"/>
      <c r="M11" s="47"/>
      <c r="N11" s="47"/>
      <c r="O11" s="47"/>
      <c r="P11" s="47"/>
      <c r="Q11" s="47"/>
      <c r="R11" s="47"/>
      <c r="S11" s="47"/>
      <c r="T11" s="47"/>
      <c r="U11" s="51"/>
      <c r="V11" s="51"/>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row>
    <row r="12" spans="1:64" s="43" customFormat="1" ht="30" customHeight="1" thickBot="1" x14ac:dyDescent="0.25">
      <c r="A12" s="13"/>
      <c r="B12" s="106" t="s">
        <v>40</v>
      </c>
      <c r="C12" s="48" t="s">
        <v>39</v>
      </c>
      <c r="D12" s="49">
        <v>1</v>
      </c>
      <c r="E12" s="50">
        <f>E10</f>
        <v>46183</v>
      </c>
      <c r="F12" s="50">
        <f>E12</f>
        <v>46183</v>
      </c>
      <c r="G12" s="17"/>
      <c r="H12" s="5">
        <f t="shared" si="5"/>
        <v>1</v>
      </c>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row>
    <row r="13" spans="1:64" s="43" customFormat="1" ht="30" customHeight="1" thickBot="1" x14ac:dyDescent="0.25">
      <c r="A13" s="14"/>
      <c r="B13" s="107" t="s">
        <v>23</v>
      </c>
      <c r="C13" s="52"/>
      <c r="D13" s="83"/>
      <c r="E13" s="84"/>
      <c r="F13" s="85"/>
      <c r="G13" s="17"/>
      <c r="H13" s="5" t="str">
        <f t="shared" si="5"/>
        <v/>
      </c>
    </row>
    <row r="14" spans="1:64" s="43" customFormat="1" ht="30" customHeight="1" thickBot="1" x14ac:dyDescent="0.25">
      <c r="A14" s="14"/>
      <c r="B14" s="108" t="s">
        <v>48</v>
      </c>
      <c r="C14" s="53" t="s">
        <v>39</v>
      </c>
      <c r="D14" s="54">
        <v>0.5</v>
      </c>
      <c r="E14" s="55">
        <f>E12+1</f>
        <v>46184</v>
      </c>
      <c r="F14" s="55">
        <f>E14+7</f>
        <v>46191</v>
      </c>
      <c r="G14" s="17"/>
      <c r="H14" s="5">
        <f t="shared" si="5"/>
        <v>8</v>
      </c>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row>
    <row r="15" spans="1:64" s="43" customFormat="1" ht="30" customHeight="1" thickBot="1" x14ac:dyDescent="0.25">
      <c r="A15" s="13"/>
      <c r="B15" s="108" t="s">
        <v>42</v>
      </c>
      <c r="C15" s="53" t="s">
        <v>39</v>
      </c>
      <c r="D15" s="54">
        <v>0.75</v>
      </c>
      <c r="E15" s="55">
        <f>E14+2</f>
        <v>46186</v>
      </c>
      <c r="F15" s="55">
        <f>E15+1</f>
        <v>46187</v>
      </c>
      <c r="G15" s="17"/>
      <c r="H15" s="5">
        <f t="shared" si="5"/>
        <v>2</v>
      </c>
      <c r="I15" s="47"/>
      <c r="J15" s="47"/>
      <c r="K15" s="47"/>
      <c r="L15" s="47"/>
      <c r="M15" s="47"/>
      <c r="N15" s="47"/>
      <c r="O15" s="47"/>
      <c r="P15" s="47"/>
      <c r="Q15" s="47"/>
      <c r="R15" s="47"/>
      <c r="S15" s="47"/>
      <c r="T15" s="47"/>
      <c r="U15" s="51"/>
      <c r="V15" s="51"/>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row>
    <row r="16" spans="1:64" s="43" customFormat="1" ht="30" customHeight="1" thickBot="1" x14ac:dyDescent="0.25">
      <c r="A16" s="13"/>
      <c r="B16" s="108" t="s">
        <v>25</v>
      </c>
      <c r="C16" s="53" t="s">
        <v>39</v>
      </c>
      <c r="D16" s="54">
        <v>1</v>
      </c>
      <c r="E16" s="55">
        <f>F15</f>
        <v>46187</v>
      </c>
      <c r="F16" s="55">
        <f>E16+3</f>
        <v>46190</v>
      </c>
      <c r="G16" s="17"/>
      <c r="H16" s="5">
        <f t="shared" si="5"/>
        <v>4</v>
      </c>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row>
    <row r="17" spans="1:64" s="43" customFormat="1" ht="30" customHeight="1" thickBot="1" x14ac:dyDescent="0.25">
      <c r="A17" s="13"/>
      <c r="B17" s="108" t="s">
        <v>26</v>
      </c>
      <c r="C17" s="53" t="s">
        <v>39</v>
      </c>
      <c r="D17" s="54">
        <v>0.15</v>
      </c>
      <c r="E17" s="55">
        <f>E14</f>
        <v>46184</v>
      </c>
      <c r="F17" s="55">
        <f>E17+2</f>
        <v>46186</v>
      </c>
      <c r="G17" s="17"/>
      <c r="H17" s="5">
        <f t="shared" si="5"/>
        <v>3</v>
      </c>
      <c r="I17" s="47"/>
      <c r="J17" s="47"/>
      <c r="K17" s="47"/>
      <c r="L17" s="47"/>
      <c r="M17" s="47"/>
      <c r="N17" s="47"/>
      <c r="O17" s="47"/>
      <c r="P17" s="47"/>
      <c r="Q17" s="47"/>
      <c r="R17" s="47"/>
      <c r="S17" s="47"/>
      <c r="T17" s="47"/>
      <c r="U17" s="47"/>
      <c r="V17" s="47"/>
      <c r="W17" s="47"/>
      <c r="X17" s="47"/>
      <c r="Y17" s="51"/>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row>
    <row r="18" spans="1:64" s="43" customFormat="1" ht="30" customHeight="1" thickBot="1" x14ac:dyDescent="0.25">
      <c r="A18" s="13"/>
      <c r="B18" s="108" t="s">
        <v>27</v>
      </c>
      <c r="C18" s="53" t="s">
        <v>39</v>
      </c>
      <c r="D18" s="54">
        <v>0</v>
      </c>
      <c r="E18" s="55">
        <f>E17</f>
        <v>46184</v>
      </c>
      <c r="F18" s="55">
        <f>E18+3</f>
        <v>46187</v>
      </c>
      <c r="G18" s="17"/>
      <c r="H18" s="5">
        <f t="shared" si="5"/>
        <v>4</v>
      </c>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row>
    <row r="19" spans="1:64" s="43" customFormat="1" ht="30" customHeight="1" thickBot="1" x14ac:dyDescent="0.25">
      <c r="A19" s="13"/>
      <c r="B19" s="109" t="s">
        <v>49</v>
      </c>
      <c r="C19" s="56" t="s">
        <v>39</v>
      </c>
      <c r="D19" s="57">
        <v>0.5</v>
      </c>
      <c r="E19" s="58">
        <f>F17+1</f>
        <v>46187</v>
      </c>
      <c r="F19" s="58">
        <f>E19+14</f>
        <v>46201</v>
      </c>
      <c r="G19" s="17"/>
      <c r="H19" s="5"/>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row>
    <row r="20" spans="1:64" s="43" customFormat="1" ht="30" customHeight="1" thickBot="1" x14ac:dyDescent="0.25">
      <c r="A20" s="13"/>
      <c r="B20" s="109" t="s">
        <v>50</v>
      </c>
      <c r="C20" s="56" t="s">
        <v>39</v>
      </c>
      <c r="D20" s="57">
        <v>0.15</v>
      </c>
      <c r="E20" s="58">
        <f>F19+1</f>
        <v>46202</v>
      </c>
      <c r="F20" s="58">
        <f>E20+21</f>
        <v>46223</v>
      </c>
      <c r="G20" s="17"/>
      <c r="H20" s="5">
        <f t="shared" si="5"/>
        <v>22</v>
      </c>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row>
    <row r="21" spans="1:64" s="43" customFormat="1" ht="30" customHeight="1" thickBot="1" x14ac:dyDescent="0.25">
      <c r="A21" s="13" t="s">
        <v>47</v>
      </c>
      <c r="B21" s="109" t="s">
        <v>51</v>
      </c>
      <c r="C21" s="56" t="s">
        <v>39</v>
      </c>
      <c r="D21" s="57">
        <v>0</v>
      </c>
      <c r="E21" s="58">
        <f>F20+1</f>
        <v>46224</v>
      </c>
      <c r="F21" s="58">
        <f>E21+30</f>
        <v>46254</v>
      </c>
      <c r="G21" s="17"/>
      <c r="H21" s="5"/>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row>
    <row r="22" spans="1:64" s="43" customFormat="1" ht="30" customHeight="1" thickBot="1" x14ac:dyDescent="0.25">
      <c r="A22" s="13"/>
      <c r="B22" s="109" t="s">
        <v>52</v>
      </c>
      <c r="C22" s="56" t="s">
        <v>39</v>
      </c>
      <c r="D22" s="57">
        <v>0</v>
      </c>
      <c r="E22" s="58">
        <f>F21</f>
        <v>46254</v>
      </c>
      <c r="F22" s="58">
        <f>E22+21</f>
        <v>46275</v>
      </c>
      <c r="G22" s="17"/>
      <c r="H22" s="5"/>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row>
    <row r="23" spans="1:64" s="43" customFormat="1" ht="30" customHeight="1" thickBot="1" x14ac:dyDescent="0.25">
      <c r="A23" s="13"/>
      <c r="B23" s="109" t="s">
        <v>43</v>
      </c>
      <c r="C23" s="56" t="s">
        <v>39</v>
      </c>
      <c r="D23" s="57">
        <v>0</v>
      </c>
      <c r="E23" s="58">
        <f>F21</f>
        <v>46254</v>
      </c>
      <c r="F23" s="58">
        <f>E23+7</f>
        <v>46261</v>
      </c>
      <c r="G23" s="17"/>
      <c r="H23" s="5">
        <f t="shared" si="5"/>
        <v>8</v>
      </c>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row>
    <row r="24" spans="1:64" s="43" customFormat="1" ht="30" customHeight="1" thickBot="1" x14ac:dyDescent="0.25">
      <c r="A24" s="13"/>
      <c r="B24" s="109" t="s">
        <v>46</v>
      </c>
      <c r="C24" s="56" t="s">
        <v>39</v>
      </c>
      <c r="D24" s="57">
        <v>0</v>
      </c>
      <c r="E24" s="58">
        <f>F22</f>
        <v>46275</v>
      </c>
      <c r="F24" s="58">
        <f>E24+21</f>
        <v>46296</v>
      </c>
      <c r="G24" s="17"/>
      <c r="H24" s="5"/>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row>
    <row r="25" spans="1:64" s="43" customFormat="1" ht="30" customHeight="1" thickBot="1" x14ac:dyDescent="0.25">
      <c r="A25" s="13"/>
      <c r="B25" s="109" t="s">
        <v>44</v>
      </c>
      <c r="C25" s="56" t="s">
        <v>39</v>
      </c>
      <c r="D25" s="57">
        <v>0</v>
      </c>
      <c r="E25" s="58">
        <f>F24</f>
        <v>46296</v>
      </c>
      <c r="F25" s="58">
        <f>E25+31</f>
        <v>46327</v>
      </c>
      <c r="G25" s="17"/>
      <c r="H25" s="5">
        <f t="shared" si="5"/>
        <v>32</v>
      </c>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row>
    <row r="26" spans="1:64" s="43" customFormat="1" ht="30" customHeight="1" thickBot="1" x14ac:dyDescent="0.25">
      <c r="A26" s="13"/>
      <c r="B26" s="109" t="s">
        <v>45</v>
      </c>
      <c r="C26" s="56" t="s">
        <v>39</v>
      </c>
      <c r="D26" s="57">
        <v>0</v>
      </c>
      <c r="E26" s="58">
        <f>F25+1</f>
        <v>46328</v>
      </c>
      <c r="F26" s="58">
        <f>E26+31</f>
        <v>46359</v>
      </c>
      <c r="G26" s="17"/>
      <c r="H26" s="5">
        <f t="shared" si="5"/>
        <v>32</v>
      </c>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row>
    <row r="27" spans="1:64" s="43" customFormat="1" ht="30" customHeight="1" thickBot="1" x14ac:dyDescent="0.25">
      <c r="A27" s="13"/>
      <c r="B27" s="109" t="s">
        <v>29</v>
      </c>
      <c r="C27" s="56" t="s">
        <v>39</v>
      </c>
      <c r="D27" s="57">
        <v>0</v>
      </c>
      <c r="E27" s="58">
        <f>F26</f>
        <v>46359</v>
      </c>
      <c r="F27" s="58">
        <f>E27+14</f>
        <v>46373</v>
      </c>
      <c r="G27" s="17"/>
      <c r="H27" s="5">
        <f t="shared" si="5"/>
        <v>15</v>
      </c>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row>
    <row r="28" spans="1:64" s="43" customFormat="1" ht="30" customHeight="1" thickBot="1" x14ac:dyDescent="0.25">
      <c r="A28" s="13"/>
      <c r="B28" s="110" t="s">
        <v>36</v>
      </c>
      <c r="C28" s="59"/>
      <c r="D28" s="60"/>
      <c r="E28" s="61"/>
      <c r="F28" s="62"/>
      <c r="G28" s="17"/>
      <c r="H28" s="5" t="str">
        <f t="shared" si="5"/>
        <v/>
      </c>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row>
    <row r="29" spans="1:64" s="43" customFormat="1" ht="30" customHeight="1" thickBot="1" x14ac:dyDescent="0.25">
      <c r="A29" s="13"/>
      <c r="B29" s="111" t="s">
        <v>28</v>
      </c>
      <c r="C29" s="64" t="s">
        <v>39</v>
      </c>
      <c r="D29" s="65">
        <v>0</v>
      </c>
      <c r="E29" s="66">
        <f>E9</f>
        <v>46183</v>
      </c>
      <c r="F29" s="66">
        <f>E29+90</f>
        <v>46273</v>
      </c>
      <c r="G29" s="17"/>
      <c r="H29" s="5">
        <f t="shared" si="5"/>
        <v>91</v>
      </c>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row>
    <row r="30" spans="1:64" s="43" customFormat="1" ht="30" customHeight="1" thickBot="1" x14ac:dyDescent="0.25">
      <c r="A30" s="13"/>
      <c r="B30" s="111" t="s">
        <v>30</v>
      </c>
      <c r="C30" s="64" t="s">
        <v>39</v>
      </c>
      <c r="D30" s="65">
        <v>0</v>
      </c>
      <c r="E30" s="66">
        <f>F24</f>
        <v>46296</v>
      </c>
      <c r="F30" s="66">
        <f>E30+4</f>
        <v>46300</v>
      </c>
      <c r="G30" s="17"/>
      <c r="H30" s="5">
        <f t="shared" si="5"/>
        <v>5</v>
      </c>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row>
    <row r="31" spans="1:64" s="43" customFormat="1" ht="30" customHeight="1" thickBot="1" x14ac:dyDescent="0.25">
      <c r="A31" s="13"/>
      <c r="B31" s="111" t="s">
        <v>31</v>
      </c>
      <c r="C31" s="64" t="s">
        <v>39</v>
      </c>
      <c r="D31" s="65">
        <v>0</v>
      </c>
      <c r="E31" s="66">
        <f>F27+1</f>
        <v>46374</v>
      </c>
      <c r="F31" s="66">
        <f>E31+3</f>
        <v>46377</v>
      </c>
      <c r="G31" s="17"/>
      <c r="H31" s="5">
        <f t="shared" si="5"/>
        <v>4</v>
      </c>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row>
    <row r="32" spans="1:64" s="43" customFormat="1" ht="30" customHeight="1" thickBot="1" x14ac:dyDescent="0.25">
      <c r="A32" s="13"/>
      <c r="B32" s="111" t="s">
        <v>32</v>
      </c>
      <c r="C32" s="64" t="s">
        <v>39</v>
      </c>
      <c r="D32" s="65">
        <v>0</v>
      </c>
      <c r="E32" s="66">
        <f>E27</f>
        <v>46359</v>
      </c>
      <c r="F32" s="66">
        <f>E32+7</f>
        <v>46366</v>
      </c>
      <c r="G32" s="17"/>
      <c r="H32" s="5">
        <f t="shared" si="5"/>
        <v>8</v>
      </c>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row>
    <row r="33" spans="1:64" s="43" customFormat="1" ht="30" customHeight="1" thickBot="1" x14ac:dyDescent="0.25">
      <c r="A33" s="13"/>
      <c r="B33" s="112"/>
      <c r="C33" s="67"/>
      <c r="D33" s="68"/>
      <c r="E33" s="69"/>
      <c r="F33" s="69"/>
      <c r="G33" s="17"/>
      <c r="H33" s="5" t="str">
        <f t="shared" si="5"/>
        <v/>
      </c>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row>
    <row r="34" spans="1:64" s="43" customFormat="1" ht="30" customHeight="1" thickBot="1" x14ac:dyDescent="0.25">
      <c r="A34" s="14"/>
      <c r="B34" s="113" t="s">
        <v>0</v>
      </c>
      <c r="C34" s="70"/>
      <c r="D34" s="71"/>
      <c r="E34" s="72"/>
      <c r="F34" s="73"/>
      <c r="G34" s="17"/>
      <c r="H34" s="6" t="str">
        <f t="shared" si="5"/>
        <v/>
      </c>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row>
    <row r="35" spans="1:64" ht="30" customHeight="1" x14ac:dyDescent="0.2">
      <c r="G35" s="3"/>
    </row>
    <row r="36" spans="1:64" ht="30" customHeight="1" x14ac:dyDescent="0.25">
      <c r="C36" s="16"/>
      <c r="F36" s="15"/>
    </row>
    <row r="37" spans="1:64" ht="30" customHeight="1" x14ac:dyDescent="0.2">
      <c r="C37"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2">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8">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7">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9:BL3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4's sample block starts in cell B26." sqref="A28"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4"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1" fitToHeight="0" orientation="landscape" r:id="rId3"/>
  <headerFooter differentFirst="1" scaleWithDoc="0">
    <oddFooter>Page &amp;P of &amp;N</oddFooter>
  </headerFooter>
  <ignoredErrors>
    <ignoredError sqref="F30 F10 F16 E26"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4" zoomScaleNormal="100" workbookViewId="0">
      <selection activeCell="A5" sqref="A5"/>
    </sheetView>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76" t="s">
        <v>8</v>
      </c>
      <c r="B2" s="8"/>
    </row>
    <row r="3" spans="1:2" s="11" customFormat="1" ht="27" customHeight="1" x14ac:dyDescent="0.2">
      <c r="A3" s="77"/>
      <c r="B3" s="12"/>
    </row>
    <row r="4" spans="1:2" s="10" customFormat="1" ht="31.5" x14ac:dyDescent="0.6">
      <c r="A4" s="78" t="s">
        <v>7</v>
      </c>
    </row>
    <row r="5" spans="1:2" ht="74.25" customHeight="1" x14ac:dyDescent="0.2">
      <c r="A5" s="79" t="s">
        <v>16</v>
      </c>
    </row>
    <row r="6" spans="1:2" ht="26.25" customHeight="1" x14ac:dyDescent="0.2">
      <c r="A6" s="78" t="s">
        <v>19</v>
      </c>
    </row>
    <row r="7" spans="1:2" s="7" customFormat="1" ht="205.15" customHeight="1" x14ac:dyDescent="0.2">
      <c r="A7" s="80" t="s">
        <v>18</v>
      </c>
    </row>
    <row r="8" spans="1:2" s="10" customFormat="1" ht="31.5" x14ac:dyDescent="0.6">
      <c r="A8" s="78" t="s">
        <v>9</v>
      </c>
    </row>
    <row r="9" spans="1:2" ht="57" x14ac:dyDescent="0.2">
      <c r="A9" s="79" t="s">
        <v>17</v>
      </c>
    </row>
    <row r="10" spans="1:2" s="7" customFormat="1" ht="28.15" customHeight="1" x14ac:dyDescent="0.2">
      <c r="A10" s="81" t="s">
        <v>15</v>
      </c>
    </row>
    <row r="11" spans="1:2" s="10" customFormat="1" ht="31.5" x14ac:dyDescent="0.6">
      <c r="A11" s="78" t="s">
        <v>6</v>
      </c>
    </row>
    <row r="12" spans="1:2" ht="28.5" x14ac:dyDescent="0.2">
      <c r="A12" s="79" t="s">
        <v>14</v>
      </c>
    </row>
    <row r="13" spans="1:2" s="7" customFormat="1" ht="28.15" customHeight="1" x14ac:dyDescent="0.2">
      <c r="A13" s="81" t="s">
        <v>2</v>
      </c>
    </row>
    <row r="14" spans="1:2" s="10" customFormat="1" ht="31.5" x14ac:dyDescent="0.6">
      <c r="A14" s="78" t="s">
        <v>10</v>
      </c>
    </row>
    <row r="15" spans="1:2" ht="75" customHeight="1" x14ac:dyDescent="0.2">
      <c r="A15" s="79" t="s">
        <v>11</v>
      </c>
    </row>
    <row r="16" spans="1:2" ht="71.25" x14ac:dyDescent="0.2">
      <c r="A16" s="79" t="s">
        <v>12</v>
      </c>
    </row>
    <row r="17" spans="1:1" x14ac:dyDescent="0.2">
      <c r="A17" s="82"/>
    </row>
    <row r="18" spans="1:1" x14ac:dyDescent="0.2">
      <c r="A18" s="82"/>
    </row>
    <row r="19" spans="1:1" x14ac:dyDescent="0.2">
      <c r="A19" s="82"/>
    </row>
    <row r="20" spans="1:1" x14ac:dyDescent="0.2">
      <c r="A20" s="82"/>
    </row>
    <row r="21" spans="1:1" x14ac:dyDescent="0.2">
      <c r="A21" s="82"/>
    </row>
    <row r="22" spans="1:1" x14ac:dyDescent="0.2">
      <c r="A22" s="82"/>
    </row>
    <row r="23" spans="1:1" x14ac:dyDescent="0.2">
      <c r="A23" s="82"/>
    </row>
    <row r="24" spans="1:1" x14ac:dyDescent="0.2">
      <c r="A24" s="8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Jonas Miramontes</dc:creator>
  <dc:description/>
  <cp:lastModifiedBy>Jonas Miramontes</cp:lastModifiedBy>
  <cp:lastPrinted>2026-05-14T07:16:54Z</cp:lastPrinted>
  <dcterms:created xsi:type="dcterms:W3CDTF">2022-03-11T22:41:12Z</dcterms:created>
  <dcterms:modified xsi:type="dcterms:W3CDTF">2026-06-10T23:33:08Z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